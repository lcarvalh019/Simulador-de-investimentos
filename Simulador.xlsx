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arv\Desktop\"/>
    </mc:Choice>
  </mc:AlternateContent>
  <xr:revisionPtr revIDLastSave="0" documentId="8_{1DCCDCED-C840-4213-B3CB-102C48173B53}" xr6:coauthVersionLast="47" xr6:coauthVersionMax="47" xr10:uidLastSave="{00000000-0000-0000-0000-000000000000}"/>
  <bookViews>
    <workbookView xWindow="-120" yWindow="-120" windowWidth="20730" windowHeight="11160" xr2:uid="{14BD46BF-2DAE-4D64-983E-F6FE6EE1F797}"/>
  </bookViews>
  <sheets>
    <sheet name="Simulador" sheetId="1" r:id="rId1"/>
    <sheet name="Read-me" sheetId="2" r:id="rId2"/>
  </sheets>
  <definedNames>
    <definedName name="Aporte">Simulador!$D$12</definedName>
    <definedName name="Patrimonio">Simulador!$D$16</definedName>
    <definedName name="Qtde_Anos">Simulador!$D$13</definedName>
    <definedName name="Rendimento_Carteira">Simulador!$D$8</definedName>
    <definedName name="Salario">Simulador!$B$7</definedName>
    <definedName name="Sugestao_Investimento">Simulador!$B$9</definedName>
    <definedName name="Taxa_Mensal">Simulador!$D$14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5" i="1" a="1"/>
  <c r="C35" i="1" s="1"/>
  <c r="C34" i="1" a="1"/>
  <c r="C34" i="1" s="1"/>
  <c r="C33" i="1" a="1"/>
  <c r="C33" i="1" s="1"/>
  <c r="C37" i="1" a="1"/>
  <c r="C37" i="1" s="1"/>
  <c r="C36" i="1" a="1"/>
  <c r="C36" i="1" s="1"/>
  <c r="C32" i="1" a="1"/>
  <c r="C32" i="1" s="1"/>
  <c r="D16" i="1"/>
  <c r="D17" i="1" s="1"/>
  <c r="D9" i="1"/>
  <c r="C25" i="1"/>
  <c r="D25" i="1" s="1"/>
  <c r="C21" i="1"/>
  <c r="D21" i="1" s="1"/>
  <c r="C22" i="1"/>
  <c r="D22" i="1" s="1"/>
  <c r="C23" i="1"/>
  <c r="D23" i="1" s="1"/>
  <c r="C24" i="1"/>
  <c r="D24" i="1" s="1"/>
  <c r="C20" i="1"/>
  <c r="D20" i="1" s="1"/>
  <c r="D36" i="1" l="1"/>
  <c r="D37" i="1"/>
  <c r="D34" i="1"/>
  <c r="D35" i="1"/>
  <c r="D33" i="1"/>
  <c r="D32" i="1"/>
  <c r="C38" i="1"/>
  <c r="D3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<sst xmlns="http://schemas.openxmlformats.org/spreadsheetml/2006/main" count="65" uniqueCount="65">
  <si>
    <t>Quanto investir pro mês?</t>
  </si>
  <si>
    <t>Por quantos Anos?</t>
  </si>
  <si>
    <t>Taxa de Rendimento Mensal?</t>
  </si>
  <si>
    <t>Patrimônio acumulado?</t>
  </si>
  <si>
    <t>Dividendos mensais?</t>
  </si>
  <si>
    <t>INVESTIMENTO MENSAL</t>
  </si>
  <si>
    <t>Patrimônio em 2 anos</t>
  </si>
  <si>
    <t>Patrimônio em 5 anos</t>
  </si>
  <si>
    <t>Patrimônio em 10 anos</t>
  </si>
  <si>
    <t>Patrimônio em 15 anos</t>
  </si>
  <si>
    <t>Patrimônio em 20 anos</t>
  </si>
  <si>
    <t>CENÁRIO</t>
  </si>
  <si>
    <t>CENÁRIOS</t>
  </si>
  <si>
    <t>PATRIMÔNIO</t>
  </si>
  <si>
    <t>DIVIDENDOS</t>
  </si>
  <si>
    <t>Patrimônio em 30 anos</t>
  </si>
  <si>
    <t>Salário</t>
  </si>
  <si>
    <t>Rendimento da Carteira</t>
  </si>
  <si>
    <t>CONFIGURAÇÕES</t>
  </si>
  <si>
    <t>Perfil</t>
  </si>
  <si>
    <t>Valor Mensal a investir</t>
  </si>
  <si>
    <t>Tipo de Fundo Imobiliário</t>
  </si>
  <si>
    <t>Papel</t>
  </si>
  <si>
    <t>Tijolo</t>
  </si>
  <si>
    <t>Hibridos</t>
  </si>
  <si>
    <t>FOFs</t>
  </si>
  <si>
    <t>Desenvolvimento</t>
  </si>
  <si>
    <t>Hotelarias</t>
  </si>
  <si>
    <t>Percentual Sugerido</t>
  </si>
  <si>
    <t>Total</t>
  </si>
  <si>
    <t>Sujestão de Investimento (30%)</t>
  </si>
  <si>
    <t>Valor do Investimento</t>
  </si>
  <si>
    <t>Escolha aqui o seu perfil</t>
  </si>
  <si>
    <t>Simulador de Investimentos em Fundos Imobiliários</t>
  </si>
  <si>
    <t>Como utilizar esta ferramenta:</t>
  </si>
  <si>
    <t>1 - Na aba Configurações</t>
  </si>
  <si>
    <t>2 - Na aba  Investimento Mensal:</t>
  </si>
  <si>
    <t xml:space="preserve">    b) Insira o percentual de rendimento oferecido pelo fundo escolhido</t>
  </si>
  <si>
    <t xml:space="preserve">   </t>
  </si>
  <si>
    <t xml:space="preserve">    b) Insira a quantidade de anos que pretende investir</t>
  </si>
  <si>
    <t xml:space="preserve">    c) Insira o percentual de rendimento esperado</t>
  </si>
  <si>
    <t xml:space="preserve">    a) Em 2 anos de aplicação</t>
  </si>
  <si>
    <t xml:space="preserve">    b) Em 5 anos de aplicação</t>
  </si>
  <si>
    <t xml:space="preserve">    c) Em 10 anos de aplicação</t>
  </si>
  <si>
    <t xml:space="preserve">    d) Em 15 anos de aplicação</t>
  </si>
  <si>
    <t xml:space="preserve">    e) Em 20 anos de aplicação</t>
  </si>
  <si>
    <t xml:space="preserve">    f) Em 30 anos de aplicação</t>
  </si>
  <si>
    <t xml:space="preserve">         São eles:</t>
  </si>
  <si>
    <t xml:space="preserve">         - Papéis</t>
  </si>
  <si>
    <t xml:space="preserve">         - Tijolo</t>
  </si>
  <si>
    <t xml:space="preserve">         - FOFs</t>
  </si>
  <si>
    <t xml:space="preserve">         - Hibridos</t>
  </si>
  <si>
    <t xml:space="preserve">         - Desenvolvimento</t>
  </si>
  <si>
    <t xml:space="preserve">         - Hotelarias</t>
  </si>
  <si>
    <t xml:space="preserve">     d) Ao final será apresentado um gráfico de pizza com os percentuais sugeridos.</t>
  </si>
  <si>
    <t>Espero que esta ferramenta seja útil para todos.</t>
  </si>
  <si>
    <t xml:space="preserve">    a) Insira o valor do seu salário /rendimento mensal</t>
  </si>
  <si>
    <t xml:space="preserve">    a) Insira o valor mensal que pretende investir (sugerimos 30% da renda)</t>
  </si>
  <si>
    <t xml:space="preserve">   d) No final da aba a ferramenta mostrará o valor do Patrimônio Acumulado e dos Dividendos mensais a receber ao final do período</t>
  </si>
  <si>
    <t>3 - Na aba Cenários a ferramenta mostrará o Patrimônio Acumulado e os Dividendos a Receber:</t>
  </si>
  <si>
    <t>4 - A última aba faz uma sugestão para a diversificação dos investimentos conforme o perfil do usuário:</t>
  </si>
  <si>
    <t xml:space="preserve">    a) O usuário deve escolher o perfil de investidor que mais se mais idenfica (Conservador, Moderado ou Agressivo)</t>
  </si>
  <si>
    <t xml:space="preserve">    b) O valor do investimento mensal será pinçado automaticamente do valor preenchido na aba "Investimento Mensal"</t>
  </si>
  <si>
    <t xml:space="preserve">    c) De acordo com perfil escolhido, a ferramenta apresentará uma sugestão dos percentuais a serem investidos em cada tipo de fundo (FII)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</si>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</sst>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lawik Semibold"/>
      <family val="2"/>
    </font>
    <font>
      <sz val="11"/>
      <color theme="0"/>
      <name val="Selawik Semibold"/>
      <family val="2"/>
    </font>
    <font>
      <i/>
      <sz val="11"/>
      <color theme="1"/>
      <name val="Selawik Semibold"/>
      <family val="2"/>
    </font>
    <font>
      <sz val="11"/>
      <color rgb="FF006100"/>
      <name val="Aptos Narrow"/>
      <family val="2"/>
      <scheme val="minor"/>
    </font>
    <font>
      <sz val="14"/>
      <color theme="0"/>
      <name val="Selawik Semibold"/>
      <family val="2"/>
    </font>
    <font>
      <sz val="11"/>
      <color rgb="FF00B050"/>
      <name val="Selawik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4" xfId="2" applyNumberFormat="1" applyFont="1" applyBorder="1" applyAlignment="1">
      <alignment horizontal="center" vertical="center"/>
    </xf>
    <xf numFmtId="8" fontId="4" fillId="3" borderId="4" xfId="1" applyNumberFormat="1" applyFont="1" applyFill="1" applyBorder="1" applyAlignment="1">
      <alignment horizontal="center" vertical="center"/>
    </xf>
    <xf numFmtId="0" fontId="4" fillId="3" borderId="0" xfId="0" applyFont="1" applyFill="1"/>
    <xf numFmtId="44" fontId="4" fillId="3" borderId="0" xfId="1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164" fontId="4" fillId="3" borderId="6" xfId="1" applyNumberFormat="1" applyFont="1" applyFill="1" applyBorder="1" applyAlignment="1">
      <alignment horizontal="center" vertical="center"/>
    </xf>
    <xf numFmtId="164" fontId="2" fillId="3" borderId="7" xfId="1" applyNumberFormat="1" applyFont="1" applyFill="1" applyBorder="1" applyAlignment="1">
      <alignment horizontal="center" vertical="center"/>
    </xf>
    <xf numFmtId="164" fontId="2" fillId="3" borderId="8" xfId="1" applyNumberFormat="1" applyFont="1" applyFill="1" applyBorder="1" applyAlignment="1">
      <alignment horizontal="center" vertical="center"/>
    </xf>
    <xf numFmtId="164" fontId="2" fillId="3" borderId="13" xfId="1" applyNumberFormat="1" applyFont="1" applyFill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indent="4"/>
    </xf>
    <xf numFmtId="0" fontId="2" fillId="3" borderId="3" xfId="0" applyFont="1" applyFill="1" applyBorder="1" applyAlignment="1">
      <alignment horizontal="left" indent="4"/>
    </xf>
    <xf numFmtId="0" fontId="2" fillId="3" borderId="12" xfId="0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vertical="center" indent="4"/>
    </xf>
    <xf numFmtId="0" fontId="5" fillId="4" borderId="0" xfId="3"/>
    <xf numFmtId="0" fontId="5" fillId="4" borderId="0" xfId="3" applyAlignment="1">
      <alignment horizontal="center" vertic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vertical="center"/>
    </xf>
    <xf numFmtId="9" fontId="2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9" fontId="2" fillId="0" borderId="0" xfId="2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2" fillId="0" borderId="10" xfId="1" applyNumberFormat="1" applyFont="1" applyBorder="1" applyAlignment="1" applyProtection="1">
      <alignment horizontal="center"/>
      <protection locked="0"/>
    </xf>
    <xf numFmtId="10" fontId="2" fillId="0" borderId="4" xfId="1" applyNumberFormat="1" applyFont="1" applyBorder="1" applyAlignment="1" applyProtection="1">
      <alignment horizontal="center" vertical="center"/>
      <protection locked="0"/>
    </xf>
    <xf numFmtId="164" fontId="4" fillId="0" borderId="10" xfId="1" applyNumberFormat="1" applyFont="1" applyBorder="1" applyAlignment="1" applyProtection="1">
      <alignment horizontal="center" vertical="center"/>
      <protection locked="0"/>
    </xf>
    <xf numFmtId="1" fontId="4" fillId="0" borderId="4" xfId="1" applyNumberFormat="1" applyFont="1" applyBorder="1" applyAlignment="1" applyProtection="1">
      <alignment horizontal="center" vertical="center"/>
      <protection locked="0"/>
    </xf>
    <xf numFmtId="10" fontId="4" fillId="0" borderId="4" xfId="0" applyNumberFormat="1" applyFont="1" applyBorder="1" applyAlignment="1" applyProtection="1">
      <alignment horizontal="center" vertical="center"/>
      <protection locked="0"/>
    </xf>
    <xf numFmtId="0" fontId="5" fillId="4" borderId="15" xfId="3" applyBorder="1" applyProtection="1">
      <protection locked="0"/>
    </xf>
    <xf numFmtId="0" fontId="2" fillId="0" borderId="3" xfId="0" applyFont="1" applyBorder="1" applyAlignment="1">
      <alignment horizontal="left" indent="4"/>
    </xf>
    <xf numFmtId="0" fontId="2" fillId="0" borderId="8" xfId="0" applyFont="1" applyBorder="1" applyAlignment="1">
      <alignment horizontal="left" indent="4"/>
    </xf>
    <xf numFmtId="0" fontId="4" fillId="3" borderId="3" xfId="0" applyFont="1" applyFill="1" applyBorder="1" applyAlignment="1">
      <alignment horizontal="left" indent="4"/>
    </xf>
    <xf numFmtId="0" fontId="4" fillId="3" borderId="8" xfId="0" applyFont="1" applyFill="1" applyBorder="1" applyAlignment="1">
      <alignment horizontal="left" indent="4"/>
    </xf>
    <xf numFmtId="0" fontId="4" fillId="3" borderId="5" xfId="0" applyFont="1" applyFill="1" applyBorder="1" applyAlignment="1">
      <alignment horizontal="left" indent="4"/>
    </xf>
    <xf numFmtId="0" fontId="4" fillId="3" borderId="16" xfId="0" applyFont="1" applyFill="1" applyBorder="1" applyAlignment="1">
      <alignment horizontal="left" indent="4"/>
    </xf>
    <xf numFmtId="0" fontId="2" fillId="0" borderId="9" xfId="0" applyFont="1" applyBorder="1" applyAlignment="1">
      <alignment horizontal="left" indent="4"/>
    </xf>
    <xf numFmtId="0" fontId="2" fillId="0" borderId="7" xfId="0" applyFont="1" applyBorder="1" applyAlignment="1">
      <alignment horizontal="left" indent="4"/>
    </xf>
    <xf numFmtId="0" fontId="2" fillId="0" borderId="5" xfId="0" applyFont="1" applyBorder="1" applyAlignment="1">
      <alignment horizontal="left" indent="4"/>
    </xf>
    <xf numFmtId="0" fontId="2" fillId="0" borderId="16" xfId="0" applyFont="1" applyBorder="1" applyAlignment="1">
      <alignment horizontal="left" indent="4"/>
    </xf>
    <xf numFmtId="0" fontId="6" fillId="2" borderId="1" xfId="0" applyFont="1" applyFill="1" applyBorder="1" applyAlignment="1">
      <alignment horizontal="left" vertical="center" indent="4"/>
    </xf>
    <xf numFmtId="0" fontId="6" fillId="2" borderId="11" xfId="0" applyFont="1" applyFill="1" applyBorder="1" applyAlignment="1">
      <alignment horizontal="left" vertical="center" indent="4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4F-41B5-B7F4-9BBB6FF4FD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4F-41B5-B7F4-9BBB6FF4FD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4F-41B5-B7F4-9BBB6FF4FD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4F-41B5-B7F4-9BBB6FF4FD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4F-41B5-B7F4-9BBB6FF4FD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4F-41B5-B7F4-9BBB6FF4FD7D}"/>
              </c:ext>
            </c:extLst>
          </c:dPt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Simulador!$C$32:$C$37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9-4012-8D17-013878FC9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428626</xdr:colOff>
      <xdr:row>25</xdr:row>
      <xdr:rowOff>133351</xdr:rowOff>
    </xdr:from>
    <xdr:to>
      <xdr:col>3</xdr:col>
      <xdr:colOff>752475</xdr:colOff>
      <xdr:row>27</xdr:row>
      <xdr:rowOff>28575</xdr:rowOff>
    </xdr:to>
    <xdr:pic>
      <xdr:nvPicPr>
        <xdr:cNvPr id="8" name="Gráfico 7" descr="Filtro estrutura de tópicos">
          <a:extLst>
            <a:ext uri="{FF2B5EF4-FFF2-40B4-BE49-F238E27FC236}">
              <a16:creationId xmlns:a16="http://schemas.microsoft.com/office/drawing/2014/main" id="{C302C96A-7CE5-1E4D-3042-5589BCDF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00626" y="5334001"/>
          <a:ext cx="323849" cy="323849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38</xdr:row>
      <xdr:rowOff>57149</xdr:rowOff>
    </xdr:from>
    <xdr:to>
      <xdr:col>3</xdr:col>
      <xdr:colOff>3009900</xdr:colOff>
      <xdr:row>47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B58FD8-CA7F-BFC9-0DDA-F2269E547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314324</xdr:colOff>
      <xdr:row>0</xdr:row>
      <xdr:rowOff>125123</xdr:rowOff>
    </xdr:from>
    <xdr:to>
      <xdr:col>3</xdr:col>
      <xdr:colOff>3019424</xdr:colOff>
      <xdr:row>3</xdr:row>
      <xdr:rowOff>200024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7D4564B-9D5C-7A63-B6AE-D031EAE39B3E}"/>
            </a:ext>
          </a:extLst>
        </xdr:cNvPr>
        <xdr:cNvGrpSpPr/>
      </xdr:nvGrpSpPr>
      <xdr:grpSpPr>
        <a:xfrm>
          <a:off x="314324" y="125123"/>
          <a:ext cx="7277100" cy="703551"/>
          <a:chOff x="314324" y="125123"/>
          <a:chExt cx="7277100" cy="703551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947E02CA-602D-414B-007D-8C75AF79C9D0}"/>
              </a:ext>
            </a:extLst>
          </xdr:cNvPr>
          <xdr:cNvSpPr/>
        </xdr:nvSpPr>
        <xdr:spPr>
          <a:xfrm>
            <a:off x="314324" y="125123"/>
            <a:ext cx="7277100" cy="703551"/>
          </a:xfrm>
          <a:prstGeom prst="roundRect">
            <a:avLst/>
          </a:prstGeom>
          <a:solidFill>
            <a:schemeClr val="tx1"/>
          </a:solidFill>
          <a:ln w="381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2400">
                <a:latin typeface="Walbaum Display Heavy" panose="020F0502020204030204" pitchFamily="18" charset="0"/>
                <a:cs typeface="Segoe UI Semibold" panose="020B0702040204020203" pitchFamily="34" charset="0"/>
              </a:rPr>
              <a:t>BUSINESS PROJECTS INVEST</a:t>
            </a: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1B8C8F1F-758E-0991-53C2-38DA96FCB7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 flipH="1" flipV="1">
            <a:off x="354485" y="161067"/>
            <a:ext cx="1188565" cy="58756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191E-3591-495E-AA7E-C3C2D126DD8D}">
  <dimension ref="A5:G39"/>
  <sheetViews>
    <sheetView showGridLines="0" tabSelected="1" topLeftCell="A4" workbookViewId="0">
      <selection activeCell="D28" sqref="D28"/>
    </sheetView>
  </sheetViews>
  <sheetFormatPr defaultColWidth="0" defaultRowHeight="16.5" x14ac:dyDescent="0.3"/>
  <cols>
    <col min="1" max="1" width="5.140625" style="1" customWidth="1"/>
    <col min="2" max="2" width="30.7109375" style="1" bestFit="1" customWidth="1"/>
    <col min="3" max="3" width="32.7109375" style="2" customWidth="1"/>
    <col min="4" max="4" width="45.28515625" style="1" customWidth="1"/>
    <col min="5" max="5" width="4.7109375" style="1" customWidth="1"/>
    <col min="6" max="6" width="7.7109375" style="1" hidden="1" customWidth="1"/>
    <col min="7" max="7" width="5.7109375" style="1" hidden="1" customWidth="1"/>
    <col min="8" max="9" width="9.140625" style="1" hidden="1" customWidth="1"/>
    <col min="10" max="16384" width="9.140625" style="1" hidden="1"/>
  </cols>
  <sheetData>
    <row r="5" spans="2:4" ht="8.25" customHeight="1" thickBot="1" x14ac:dyDescent="0.35"/>
    <row r="6" spans="2:4" ht="21.75" x14ac:dyDescent="0.4">
      <c r="B6" s="52" t="s">
        <v>18</v>
      </c>
      <c r="C6" s="53"/>
      <c r="D6" s="54"/>
    </row>
    <row r="7" spans="2:4" x14ac:dyDescent="0.3">
      <c r="B7" s="46" t="s">
        <v>16</v>
      </c>
      <c r="C7" s="47"/>
      <c r="D7" s="34">
        <v>5000</v>
      </c>
    </row>
    <row r="8" spans="2:4" x14ac:dyDescent="0.3">
      <c r="B8" s="40" t="s">
        <v>17</v>
      </c>
      <c r="C8" s="41"/>
      <c r="D8" s="35">
        <v>1.03E-2</v>
      </c>
    </row>
    <row r="9" spans="2:4" ht="21" customHeight="1" thickBot="1" x14ac:dyDescent="0.35">
      <c r="B9" s="48" t="s">
        <v>30</v>
      </c>
      <c r="C9" s="49"/>
      <c r="D9" s="13">
        <f>D7*30%</f>
        <v>1500</v>
      </c>
    </row>
    <row r="10" spans="2:4" ht="7.5" customHeight="1" thickBot="1" x14ac:dyDescent="0.35">
      <c r="B10"/>
      <c r="C10" s="14"/>
      <c r="D10" s="8"/>
    </row>
    <row r="11" spans="2:4" ht="24" customHeight="1" x14ac:dyDescent="0.3">
      <c r="B11" s="50" t="s">
        <v>5</v>
      </c>
      <c r="C11" s="51"/>
      <c r="D11" s="17" t="s">
        <v>11</v>
      </c>
    </row>
    <row r="12" spans="2:4" x14ac:dyDescent="0.3">
      <c r="B12" s="46" t="s">
        <v>0</v>
      </c>
      <c r="C12" s="47"/>
      <c r="D12" s="36">
        <v>1500</v>
      </c>
    </row>
    <row r="13" spans="2:4" x14ac:dyDescent="0.3">
      <c r="B13" s="40" t="s">
        <v>1</v>
      </c>
      <c r="C13" s="41"/>
      <c r="D13" s="37">
        <v>5</v>
      </c>
    </row>
    <row r="14" spans="2:4" x14ac:dyDescent="0.3">
      <c r="B14" s="40" t="s">
        <v>2</v>
      </c>
      <c r="C14" s="41"/>
      <c r="D14" s="38">
        <v>1.0789999999999999E-2</v>
      </c>
    </row>
    <row r="15" spans="2:4" x14ac:dyDescent="0.3">
      <c r="B15" s="40"/>
      <c r="C15" s="41"/>
      <c r="D15" s="3"/>
    </row>
    <row r="16" spans="2:4" x14ac:dyDescent="0.3">
      <c r="B16" s="42" t="s">
        <v>3</v>
      </c>
      <c r="C16" s="43"/>
      <c r="D16" s="4">
        <f>FV(Taxa_Mensal,Qtde_Anos*12,Aporte)*-1</f>
        <v>125665.37099773147</v>
      </c>
    </row>
    <row r="17" spans="1:4" ht="17.25" thickBot="1" x14ac:dyDescent="0.35">
      <c r="B17" s="44" t="s">
        <v>4</v>
      </c>
      <c r="C17" s="45"/>
      <c r="D17" s="9">
        <f>Patrimonio*Rendimento_Carteira</f>
        <v>1294.3533212766342</v>
      </c>
    </row>
    <row r="18" spans="1:4" ht="6.75" customHeight="1" thickBot="1" x14ac:dyDescent="0.35">
      <c r="B18" s="5"/>
      <c r="C18" s="6"/>
      <c r="D18" s="8"/>
    </row>
    <row r="19" spans="1:4" ht="21.75" x14ac:dyDescent="0.3">
      <c r="B19" s="22" t="s">
        <v>12</v>
      </c>
      <c r="C19" s="18" t="s">
        <v>13</v>
      </c>
      <c r="D19" s="17" t="s">
        <v>14</v>
      </c>
    </row>
    <row r="20" spans="1:4" x14ac:dyDescent="0.3">
      <c r="A20" s="7">
        <v>2</v>
      </c>
      <c r="B20" s="19" t="s">
        <v>6</v>
      </c>
      <c r="C20" s="10">
        <f t="shared" ref="C20:C25" si="0">FV($D$14,A20*12,$D$12)*-1</f>
        <v>40841.440946467825</v>
      </c>
      <c r="D20" s="15">
        <f t="shared" ref="D20:D25" si="1">C20*Rendimento_Carteira</f>
        <v>420.66684174861859</v>
      </c>
    </row>
    <row r="21" spans="1:4" x14ac:dyDescent="0.3">
      <c r="A21" s="7">
        <v>5</v>
      </c>
      <c r="B21" s="20" t="s">
        <v>7</v>
      </c>
      <c r="C21" s="11">
        <f t="shared" si="0"/>
        <v>125665.37099773147</v>
      </c>
      <c r="D21" s="15">
        <f t="shared" si="1"/>
        <v>1294.3533212766342</v>
      </c>
    </row>
    <row r="22" spans="1:4" x14ac:dyDescent="0.3">
      <c r="A22" s="7">
        <v>10</v>
      </c>
      <c r="B22" s="20" t="s">
        <v>8</v>
      </c>
      <c r="C22" s="11">
        <f t="shared" si="0"/>
        <v>364926.3187952583</v>
      </c>
      <c r="D22" s="15">
        <f t="shared" si="1"/>
        <v>3758.7410835911605</v>
      </c>
    </row>
    <row r="23" spans="1:4" x14ac:dyDescent="0.3">
      <c r="A23" s="7">
        <v>15</v>
      </c>
      <c r="B23" s="20" t="s">
        <v>9</v>
      </c>
      <c r="C23" s="11">
        <f t="shared" si="0"/>
        <v>820467.89470008132</v>
      </c>
      <c r="D23" s="15">
        <f t="shared" si="1"/>
        <v>8450.8193154108376</v>
      </c>
    </row>
    <row r="24" spans="1:4" x14ac:dyDescent="0.3">
      <c r="A24" s="7">
        <v>20</v>
      </c>
      <c r="B24" s="20" t="s">
        <v>10</v>
      </c>
      <c r="C24" s="11">
        <f t="shared" si="0"/>
        <v>1687797.600145621</v>
      </c>
      <c r="D24" s="15">
        <f t="shared" si="1"/>
        <v>17384.315281499898</v>
      </c>
    </row>
    <row r="25" spans="1:4" ht="17.25" thickBot="1" x14ac:dyDescent="0.35">
      <c r="A25" s="7">
        <v>30</v>
      </c>
      <c r="B25" s="21" t="s">
        <v>15</v>
      </c>
      <c r="C25" s="12">
        <f t="shared" si="0"/>
        <v>6483254.4825070715</v>
      </c>
      <c r="D25" s="16">
        <f t="shared" si="1"/>
        <v>66777.521169822838</v>
      </c>
    </row>
    <row r="27" spans="1:4" ht="17.25" thickBot="1" x14ac:dyDescent="0.35">
      <c r="D27" s="33" t="s">
        <v>32</v>
      </c>
    </row>
    <row r="28" spans="1:4" ht="17.25" thickBot="1" x14ac:dyDescent="0.35">
      <c r="B28" s="23" t="s">
        <v>19</v>
      </c>
      <c r="C28" s="24"/>
      <c r="D28" s="39" t="s">
        <v>64</v>
      </c>
    </row>
    <row r="29" spans="1:4" x14ac:dyDescent="0.3">
      <c r="B29" s="1" t="s">
        <v>20</v>
      </c>
      <c r="C29" s="25">
        <f>Aporte</f>
        <v>1500</v>
      </c>
      <c r="D29"/>
    </row>
    <row r="31" spans="1:4" x14ac:dyDescent="0.3">
      <c r="B31" s="28" t="s">
        <v>21</v>
      </c>
      <c r="C31" s="29" t="s">
        <v>28</v>
      </c>
      <c r="D31" s="28" t="s">
        <v>31</v>
      </c>
    </row>
    <row r="32" spans="1:4" x14ac:dyDescent="0.3">
      <c r="B32" s="1" t="s">
        <v>22</v>
      </c>
      <c r="C32" s="26" cm="1">
        <f t="array" ref="C32">_xlfn.IFS($D$28="Conservador",30%,$D$28="Moderado",32%,$D$28="Agressivo",50%)</f>
        <v>0.32</v>
      </c>
      <c r="D32" s="27">
        <f>$C$29*C32</f>
        <v>480</v>
      </c>
    </row>
    <row r="33" spans="2:4" x14ac:dyDescent="0.3">
      <c r="B33" s="1" t="s">
        <v>23</v>
      </c>
      <c r="C33" s="26" cm="1">
        <f t="array" ref="C33">_xlfn.IFS($D$28="Conservador",50%,$D$28="Moderado",35%,$D$28="Agressivo",10%)</f>
        <v>0.35</v>
      </c>
      <c r="D33" s="27">
        <f t="shared" ref="D33:D37" si="2">$C$29*C33</f>
        <v>525</v>
      </c>
    </row>
    <row r="34" spans="2:4" x14ac:dyDescent="0.3">
      <c r="B34" s="1" t="s">
        <v>24</v>
      </c>
      <c r="C34" s="26" cm="1">
        <f t="array" ref="C34">_xlfn.IFS($D$28="Conservador",10%,$D$28="Moderado",8%,$D$28="Agressivo",5%)</f>
        <v>0.08</v>
      </c>
      <c r="D34" s="27">
        <f t="shared" si="2"/>
        <v>120</v>
      </c>
    </row>
    <row r="35" spans="2:4" x14ac:dyDescent="0.3">
      <c r="B35" s="1" t="s">
        <v>25</v>
      </c>
      <c r="C35" s="26" cm="1">
        <f t="array" ref="C35">_xlfn.IFS($D$28="Conservador",10%,$D$28="Moderado",5%,$D$28="Agressivo",5%)</f>
        <v>0.05</v>
      </c>
      <c r="D35" s="27">
        <f t="shared" si="2"/>
        <v>75</v>
      </c>
    </row>
    <row r="36" spans="2:4" x14ac:dyDescent="0.3">
      <c r="B36" s="1" t="s">
        <v>26</v>
      </c>
      <c r="C36" s="32" cm="1">
        <f t="array" ref="C36">_xlfn.IFS($D$28="Conservador",0%,$D$28="Moderado",10%,$D$28="Agressivo",20%)</f>
        <v>0.1</v>
      </c>
      <c r="D36" s="27">
        <f t="shared" si="2"/>
        <v>150</v>
      </c>
    </row>
    <row r="37" spans="2:4" x14ac:dyDescent="0.3">
      <c r="B37" s="1" t="s">
        <v>27</v>
      </c>
      <c r="C37" s="26" cm="1">
        <f t="array" ref="C37">_xlfn.IFS($D$28="Conservador",0%,$D$28="Moderado",10%,$D$28="Agressivo",10%)</f>
        <v>0.1</v>
      </c>
      <c r="D37" s="27">
        <f t="shared" si="2"/>
        <v>150</v>
      </c>
    </row>
    <row r="38" spans="2:4" x14ac:dyDescent="0.3">
      <c r="B38" s="28" t="s">
        <v>29</v>
      </c>
      <c r="C38" s="30">
        <f>SUM(C32:C37)</f>
        <v>0.99999999999999989</v>
      </c>
      <c r="D38" s="31">
        <f>SUM(D32:D37)</f>
        <v>1500</v>
      </c>
    </row>
    <row r="39" spans="2:4" x14ac:dyDescent="0.3">
      <c r="C39" s="32"/>
    </row>
  </sheetData>
  <sheetProtection sheet="1" objects="1" scenarios="1" selectLockedCells="1"/>
  <mergeCells count="11">
    <mergeCell ref="B6:D6"/>
    <mergeCell ref="B15:C15"/>
    <mergeCell ref="B16:C16"/>
    <mergeCell ref="B17:C17"/>
    <mergeCell ref="B7:C7"/>
    <mergeCell ref="B8:C8"/>
    <mergeCell ref="B9:C9"/>
    <mergeCell ref="B11:C11"/>
    <mergeCell ref="B12:C12"/>
    <mergeCell ref="B13:C13"/>
    <mergeCell ref="B14:C14"/>
  </mergeCells>
  <dataValidations count="1">
    <dataValidation type="list" allowBlank="1" showInputMessage="1" showErrorMessage="1" sqref="D28" xr:uid="{ED945974-1A71-4F47-B663-367E942C5D85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0CB4-1088-41DF-9B07-331A48F22A89}">
  <dimension ref="A2:B36"/>
  <sheetViews>
    <sheetView showGridLines="0" workbookViewId="0">
      <selection activeCell="P41" sqref="P41"/>
    </sheetView>
  </sheetViews>
  <sheetFormatPr defaultRowHeight="15" x14ac:dyDescent="0.25"/>
  <sheetData>
    <row r="2" spans="1:2" x14ac:dyDescent="0.25">
      <c r="B2" t="s">
        <v>33</v>
      </c>
    </row>
    <row r="4" spans="1:2" x14ac:dyDescent="0.25">
      <c r="B4" t="s">
        <v>34</v>
      </c>
    </row>
    <row r="5" spans="1:2" x14ac:dyDescent="0.25">
      <c r="B5" t="s">
        <v>35</v>
      </c>
    </row>
    <row r="6" spans="1:2" x14ac:dyDescent="0.25">
      <c r="B6" t="s">
        <v>56</v>
      </c>
    </row>
    <row r="7" spans="1:2" x14ac:dyDescent="0.25">
      <c r="B7" t="s">
        <v>37</v>
      </c>
    </row>
    <row r="9" spans="1:2" x14ac:dyDescent="0.25">
      <c r="B9" t="s">
        <v>36</v>
      </c>
    </row>
    <row r="10" spans="1:2" x14ac:dyDescent="0.25">
      <c r="B10" t="s">
        <v>57</v>
      </c>
    </row>
    <row r="11" spans="1:2" x14ac:dyDescent="0.25">
      <c r="A11" t="s">
        <v>38</v>
      </c>
      <c r="B11" t="s">
        <v>39</v>
      </c>
    </row>
    <row r="12" spans="1:2" x14ac:dyDescent="0.25">
      <c r="B12" t="s">
        <v>40</v>
      </c>
    </row>
    <row r="13" spans="1:2" x14ac:dyDescent="0.25">
      <c r="B13" t="s">
        <v>58</v>
      </c>
    </row>
    <row r="15" spans="1:2" x14ac:dyDescent="0.25">
      <c r="B15" t="s">
        <v>59</v>
      </c>
    </row>
    <row r="16" spans="1:2" x14ac:dyDescent="0.25">
      <c r="B16" t="s">
        <v>41</v>
      </c>
    </row>
    <row r="17" spans="2:2" x14ac:dyDescent="0.25">
      <c r="B17" t="s">
        <v>42</v>
      </c>
    </row>
    <row r="18" spans="2:2" x14ac:dyDescent="0.25">
      <c r="B18" t="s">
        <v>43</v>
      </c>
    </row>
    <row r="19" spans="2:2" x14ac:dyDescent="0.25">
      <c r="B19" t="s">
        <v>44</v>
      </c>
    </row>
    <row r="20" spans="2:2" x14ac:dyDescent="0.25">
      <c r="B20" t="s">
        <v>45</v>
      </c>
    </row>
    <row r="21" spans="2:2" x14ac:dyDescent="0.25">
      <c r="B21" t="s">
        <v>46</v>
      </c>
    </row>
    <row r="23" spans="2:2" x14ac:dyDescent="0.25">
      <c r="B23" t="s">
        <v>60</v>
      </c>
    </row>
    <row r="24" spans="2:2" x14ac:dyDescent="0.25">
      <c r="B24" t="s">
        <v>61</v>
      </c>
    </row>
    <row r="25" spans="2:2" x14ac:dyDescent="0.25">
      <c r="B25" t="s">
        <v>62</v>
      </c>
    </row>
    <row r="26" spans="2:2" x14ac:dyDescent="0.25">
      <c r="B26" t="s">
        <v>63</v>
      </c>
    </row>
    <row r="27" spans="2:2" x14ac:dyDescent="0.25">
      <c r="B27" t="s">
        <v>47</v>
      </c>
    </row>
    <row r="28" spans="2:2" x14ac:dyDescent="0.25">
      <c r="B28" t="s">
        <v>48</v>
      </c>
    </row>
    <row r="29" spans="2:2" x14ac:dyDescent="0.25">
      <c r="B29" t="s">
        <v>49</v>
      </c>
    </row>
    <row r="30" spans="2:2" x14ac:dyDescent="0.25">
      <c r="B30" t="s">
        <v>51</v>
      </c>
    </row>
    <row r="31" spans="2:2" x14ac:dyDescent="0.25">
      <c r="B31" t="s">
        <v>50</v>
      </c>
    </row>
    <row r="32" spans="2:2" x14ac:dyDescent="0.25">
      <c r="B32" t="s">
        <v>52</v>
      </c>
    </row>
    <row r="33" spans="2:2" x14ac:dyDescent="0.25">
      <c r="B33" t="s">
        <v>53</v>
      </c>
    </row>
    <row r="34" spans="2:2" x14ac:dyDescent="0.25">
      <c r="B34" t="s">
        <v>54</v>
      </c>
    </row>
    <row r="36" spans="2:2" x14ac:dyDescent="0.25">
      <c r="B36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Read-me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Afonso de Carvalho Araujo</dc:creator>
  <cp:lastModifiedBy>Luiz Afonso de Carvalho Araujo</cp:lastModifiedBy>
  <dcterms:created xsi:type="dcterms:W3CDTF">2025-10-25T12:13:32Z</dcterms:created>
  <dcterms:modified xsi:type="dcterms:W3CDTF">2025-11-07T14:01:30Z</dcterms:modified>
</cp:coreProperties>
</file>